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i Fernando\Downloads\"/>
    </mc:Choice>
  </mc:AlternateContent>
  <xr:revisionPtr revIDLastSave="0" documentId="8_{750AB353-E534-43D6-BB86-542C0E5A4D6F}" xr6:coauthVersionLast="47" xr6:coauthVersionMax="47" xr10:uidLastSave="{00000000-0000-0000-0000-000000000000}"/>
  <bookViews>
    <workbookView xWindow="-98" yWindow="-98" windowWidth="21795" windowHeight="12975" xr2:uid="{E3F2F4D4-53E5-4458-97DF-DE2D7E396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6" i="1" s="1"/>
  <c r="B3" i="1"/>
  <c r="B4" i="1" s="1"/>
  <c r="B19" i="1"/>
  <c r="B20" i="1" s="1"/>
  <c r="B37" i="1" l="1"/>
  <c r="B5" i="1"/>
  <c r="B21" i="1"/>
  <c r="B38" i="1" l="1"/>
  <c r="B6" i="1"/>
  <c r="B22" i="1"/>
  <c r="B39" i="1" l="1"/>
  <c r="B7" i="1"/>
  <c r="B23" i="1"/>
  <c r="B40" i="1" l="1"/>
  <c r="B8" i="1"/>
  <c r="B24" i="1"/>
  <c r="B41" i="1" l="1"/>
  <c r="B9" i="1"/>
  <c r="B25" i="1"/>
  <c r="B42" i="1" l="1"/>
  <c r="B10" i="1"/>
  <c r="B26" i="1"/>
  <c r="B43" i="1" l="1"/>
  <c r="B11" i="1"/>
  <c r="B27" i="1"/>
  <c r="B44" i="1" l="1"/>
  <c r="B12" i="1"/>
  <c r="B28" i="1"/>
  <c r="B45" i="1" l="1"/>
  <c r="B13" i="1"/>
  <c r="B29" i="1"/>
  <c r="B46" i="1" l="1"/>
  <c r="B14" i="1"/>
  <c r="B30" i="1"/>
  <c r="C15" i="1" l="1"/>
  <c r="C3" i="1"/>
  <c r="C31" i="1"/>
  <c r="C19" i="1"/>
  <c r="D31" i="1"/>
  <c r="D19" i="1"/>
  <c r="C47" i="1"/>
  <c r="C35" i="1"/>
  <c r="D47" i="1"/>
  <c r="D35" i="1"/>
  <c r="C13" i="1"/>
  <c r="C5" i="1"/>
  <c r="C41" i="1"/>
  <c r="D45" i="1"/>
  <c r="D27" i="1"/>
  <c r="D26" i="1"/>
  <c r="D41" i="1"/>
  <c r="C44" i="1"/>
  <c r="D10" i="1"/>
  <c r="D6" i="1"/>
  <c r="C20" i="1"/>
  <c r="D23" i="1"/>
  <c r="C39" i="1"/>
  <c r="D28" i="1"/>
  <c r="D36" i="1"/>
  <c r="C21" i="1"/>
  <c r="C12" i="1"/>
  <c r="D40" i="1"/>
  <c r="C4" i="1"/>
  <c r="C24" i="1"/>
  <c r="C6" i="1"/>
  <c r="C43" i="1"/>
  <c r="D39" i="1"/>
  <c r="D12" i="1"/>
  <c r="C10" i="1"/>
  <c r="C29" i="1"/>
  <c r="D29" i="1"/>
  <c r="C30" i="1"/>
  <c r="C7" i="1"/>
  <c r="D14" i="1"/>
  <c r="D43" i="1"/>
  <c r="C9" i="1"/>
  <c r="C23" i="1"/>
  <c r="C22" i="1"/>
  <c r="D37" i="1"/>
  <c r="C11" i="1"/>
  <c r="C25" i="1"/>
  <c r="D8" i="1"/>
  <c r="D4" i="1"/>
  <c r="C36" i="1"/>
  <c r="D25" i="1"/>
  <c r="C8" i="1"/>
  <c r="C40" i="1"/>
  <c r="D15" i="1"/>
  <c r="D20" i="1"/>
  <c r="D44" i="1"/>
  <c r="C38" i="1"/>
  <c r="C46" i="1"/>
  <c r="D24" i="1"/>
  <c r="D13" i="1"/>
  <c r="D9" i="1"/>
  <c r="D5" i="1"/>
  <c r="C28" i="1"/>
  <c r="C26" i="1"/>
  <c r="C42" i="1"/>
  <c r="D38" i="1"/>
  <c r="D46" i="1"/>
  <c r="D11" i="1"/>
  <c r="D7" i="1"/>
  <c r="C27" i="1"/>
  <c r="D30" i="1"/>
  <c r="C37" i="1"/>
  <c r="C14" i="1"/>
  <c r="D42" i="1"/>
  <c r="D22" i="1"/>
  <c r="C45" i="1"/>
  <c r="D3" i="1"/>
  <c r="D21" i="1"/>
</calcChain>
</file>

<file path=xl/sharedStrings.xml><?xml version="1.0" encoding="utf-8"?>
<sst xmlns="http://schemas.openxmlformats.org/spreadsheetml/2006/main" count="15" uniqueCount="7">
  <si>
    <t>Omzet Total Bulanan 2024</t>
  </si>
  <si>
    <t>Bulan</t>
  </si>
  <si>
    <t>Omzet (Rp)</t>
  </si>
  <si>
    <t>Transaksi</t>
  </si>
  <si>
    <t>TOTAL</t>
  </si>
  <si>
    <t>Omzet Total Bulanan 2025</t>
  </si>
  <si>
    <t>Omzet Total Bulanan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</si>
</sst>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;\(#,##0\);\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5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2389B4-C6DE-4B9A-958B-599A75AC6A7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f97383d-dac4-4501-9e49-74fafc8798d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570B-427F-4350-9A44-B68646021D7A}">
  <dimension ref="A1:D47"/>
  <sheetViews>
    <sheetView tabSelected="1" workbookViewId="0">
      <selection activeCell="A33" sqref="A33:D47"/>
    </sheetView>
  </sheetViews>
  <sheetFormatPr defaultRowHeight="14.25" x14ac:dyDescent="0.45"/>
  <cols>
    <col min="3" max="3" width="12.33203125" bestFit="1" customWidth="1"/>
  </cols>
  <sheetData>
    <row r="1" spans="1:4" ht="15.75" x14ac:dyDescent="0.5">
      <c r="A1" s="1"/>
      <c r="B1" s="2" t="s">
        <v>0</v>
      </c>
      <c r="C1" s="1"/>
      <c r="D1" s="1"/>
    </row>
    <row r="2" spans="1:4" x14ac:dyDescent="0.45">
      <c r="A2" s="1"/>
      <c r="B2" s="3" t="s">
        <v>1</v>
      </c>
      <c r="C2" s="3" t="s">
        <v>2</v>
      </c>
      <c r="D2" s="3" t="s">
        <v>3</v>
      </c>
    </row>
    <row r="3" spans="1:4" x14ac:dyDescent="0.45">
      <c r="B3" s="4">
        <f>DATE(2024,1,1)</f>
        <v>45292</v>
      </c>
      <c r="C3" s="5">
        <f ca="1">SUMIFS($I$2:$I$316,$D$2:$D$316,"&gt;="&amp;B3,$D$2:$D$316,"&lt;"&amp;EDATE(B3,1))</f>
        <v>6712626</v>
      </c>
      <c r="D3" s="6">
        <f ca="1">COUNTIFS($D$2:$D$316,"&gt;="&amp;B3,$D$2:$D$316,"&lt;"&amp;EDATE(B3,1))</f>
        <v>11</v>
      </c>
    </row>
    <row r="4" spans="1:4" x14ac:dyDescent="0.45">
      <c r="B4" s="4">
        <f>EDATE(B3,1)</f>
        <v>45323</v>
      </c>
      <c r="C4" s="5">
        <f t="shared" ref="C4:C14" ca="1" si="0">SUMIFS($I$2:$I$316,$D$2:$D$316,"&gt;="&amp;B4,$D$2:$D$316,"&lt;"&amp;EDATE(B4,1))</f>
        <v>10231068</v>
      </c>
      <c r="D4" s="6">
        <f t="shared" ref="D4:D14" ca="1" si="1">COUNTIFS($D$2:$D$316,"&gt;="&amp;B4,$D$2:$D$316,"&lt;"&amp;EDATE(B4,1))</f>
        <v>11</v>
      </c>
    </row>
    <row r="5" spans="1:4" x14ac:dyDescent="0.45">
      <c r="B5" s="4">
        <f t="shared" ref="B5:B14" si="2">EDATE(B4,1)</f>
        <v>45352</v>
      </c>
      <c r="C5" s="5">
        <f t="shared" ca="1" si="0"/>
        <v>12065460</v>
      </c>
      <c r="D5" s="6">
        <f t="shared" ca="1" si="1"/>
        <v>19</v>
      </c>
    </row>
    <row r="6" spans="1:4" x14ac:dyDescent="0.45">
      <c r="B6" s="4">
        <f t="shared" si="2"/>
        <v>45383</v>
      </c>
      <c r="C6" s="5">
        <f t="shared" ca="1" si="0"/>
        <v>21417664</v>
      </c>
      <c r="D6" s="6">
        <f t="shared" ca="1" si="1"/>
        <v>26</v>
      </c>
    </row>
    <row r="7" spans="1:4" x14ac:dyDescent="0.45">
      <c r="B7" s="4">
        <f t="shared" si="2"/>
        <v>45413</v>
      </c>
      <c r="C7" s="5">
        <f t="shared" ca="1" si="0"/>
        <v>32210288</v>
      </c>
      <c r="D7" s="6">
        <f t="shared" ca="1" si="1"/>
        <v>35</v>
      </c>
    </row>
    <row r="8" spans="1:4" x14ac:dyDescent="0.45">
      <c r="B8" s="4">
        <f t="shared" si="2"/>
        <v>45444</v>
      </c>
      <c r="C8" s="5">
        <f t="shared" ca="1" si="0"/>
        <v>23403144</v>
      </c>
      <c r="D8" s="6">
        <f t="shared" ca="1" si="1"/>
        <v>17</v>
      </c>
    </row>
    <row r="9" spans="1:4" x14ac:dyDescent="0.45">
      <c r="B9" s="4">
        <f t="shared" si="2"/>
        <v>45474</v>
      </c>
      <c r="C9" s="5">
        <f t="shared" ca="1" si="0"/>
        <v>42191040</v>
      </c>
      <c r="D9" s="6">
        <f t="shared" ca="1" si="1"/>
        <v>36</v>
      </c>
    </row>
    <row r="10" spans="1:4" x14ac:dyDescent="0.45">
      <c r="B10" s="4">
        <f t="shared" si="2"/>
        <v>45505</v>
      </c>
      <c r="C10" s="5">
        <f t="shared" ca="1" si="0"/>
        <v>27191356</v>
      </c>
      <c r="D10" s="6">
        <f t="shared" ca="1" si="1"/>
        <v>23</v>
      </c>
    </row>
    <row r="11" spans="1:4" x14ac:dyDescent="0.45">
      <c r="B11" s="4">
        <f t="shared" si="2"/>
        <v>45536</v>
      </c>
      <c r="C11" s="5">
        <f t="shared" ca="1" si="0"/>
        <v>23286078</v>
      </c>
      <c r="D11" s="6">
        <f t="shared" ca="1" si="1"/>
        <v>21</v>
      </c>
    </row>
    <row r="12" spans="1:4" x14ac:dyDescent="0.45">
      <c r="B12" s="4">
        <f t="shared" si="2"/>
        <v>45566</v>
      </c>
      <c r="C12" s="5">
        <f t="shared" ca="1" si="0"/>
        <v>16741503</v>
      </c>
      <c r="D12" s="6">
        <f t="shared" ca="1" si="1"/>
        <v>15</v>
      </c>
    </row>
    <row r="13" spans="1:4" x14ac:dyDescent="0.45">
      <c r="B13" s="4">
        <f t="shared" si="2"/>
        <v>45597</v>
      </c>
      <c r="C13" s="5">
        <f t="shared" ca="1" si="0"/>
        <v>26251134</v>
      </c>
      <c r="D13" s="6">
        <f t="shared" ca="1" si="1"/>
        <v>23</v>
      </c>
    </row>
    <row r="14" spans="1:4" x14ac:dyDescent="0.45">
      <c r="B14" s="4">
        <f t="shared" si="2"/>
        <v>45627</v>
      </c>
      <c r="C14" s="5">
        <f t="shared" ca="1" si="0"/>
        <v>50563847</v>
      </c>
      <c r="D14" s="6">
        <f t="shared" ca="1" si="1"/>
        <v>40</v>
      </c>
    </row>
    <row r="15" spans="1:4" x14ac:dyDescent="0.45">
      <c r="B15" s="7" t="s">
        <v>4</v>
      </c>
      <c r="C15" s="8">
        <f ca="1">SUM(C3:C14)</f>
        <v>292265208</v>
      </c>
      <c r="D15" s="9">
        <f ca="1">SUM(D3:D14)</f>
        <v>277</v>
      </c>
    </row>
    <row r="17" spans="1:4" ht="15.75" x14ac:dyDescent="0.5">
      <c r="A17" s="1"/>
      <c r="B17" s="2" t="s">
        <v>5</v>
      </c>
      <c r="C17" s="1"/>
      <c r="D17" s="1"/>
    </row>
    <row r="18" spans="1:4" x14ac:dyDescent="0.45">
      <c r="B18" s="3" t="s">
        <v>1</v>
      </c>
      <c r="C18" s="3" t="s">
        <v>2</v>
      </c>
      <c r="D18" s="3" t="s">
        <v>3</v>
      </c>
    </row>
    <row r="19" spans="1:4" x14ac:dyDescent="0.45">
      <c r="B19" s="4">
        <f>DATE(2025,1,1)</f>
        <v>45658</v>
      </c>
      <c r="C19" s="5">
        <f ca="1">SUMIFS($I$2:$I$565,$D$2:$D$565,"&gt;="&amp;B19,$D$2:$D$565,"&lt;"&amp;EDATE(B19,1))</f>
        <v>37520708</v>
      </c>
      <c r="D19" s="6">
        <f ca="1">COUNTIFS($D$2:$D$565,"&gt;="&amp;B19,$D$2:$D$565,"&lt;"&amp;EDATE(B19,1))</f>
        <v>33</v>
      </c>
    </row>
    <row r="20" spans="1:4" x14ac:dyDescent="0.45">
      <c r="B20" s="4">
        <f>EDATE(B19,1)</f>
        <v>45689</v>
      </c>
      <c r="C20" s="5">
        <f t="shared" ref="C20:C30" ca="1" si="3">SUMIFS($I$2:$I$565,$D$2:$D$565,"&gt;="&amp;B20,$D$2:$D$565,"&lt;"&amp;EDATE(B20,1))</f>
        <v>34628396</v>
      </c>
      <c r="D20" s="6">
        <f t="shared" ref="D20:D30" ca="1" si="4">COUNTIFS($D$2:$D$565,"&gt;="&amp;B20,$D$2:$D$565,"&lt;"&amp;EDATE(B20,1))</f>
        <v>36</v>
      </c>
    </row>
    <row r="21" spans="1:4" x14ac:dyDescent="0.45">
      <c r="B21" s="4">
        <f t="shared" ref="B21:B30" si="5">EDATE(B20,1)</f>
        <v>45717</v>
      </c>
      <c r="C21" s="5">
        <f t="shared" ca="1" si="3"/>
        <v>40346725</v>
      </c>
      <c r="D21" s="6">
        <f t="shared" ca="1" si="4"/>
        <v>30</v>
      </c>
    </row>
    <row r="22" spans="1:4" x14ac:dyDescent="0.45">
      <c r="B22" s="4">
        <f t="shared" si="5"/>
        <v>45748</v>
      </c>
      <c r="C22" s="5">
        <f t="shared" ca="1" si="3"/>
        <v>70603491.200000003</v>
      </c>
      <c r="D22" s="6">
        <f t="shared" ca="1" si="4"/>
        <v>56</v>
      </c>
    </row>
    <row r="23" spans="1:4" x14ac:dyDescent="0.45">
      <c r="B23" s="4">
        <f t="shared" si="5"/>
        <v>45778</v>
      </c>
      <c r="C23" s="5">
        <f t="shared" ca="1" si="3"/>
        <v>64347144</v>
      </c>
      <c r="D23" s="6">
        <f t="shared" ca="1" si="4"/>
        <v>56</v>
      </c>
    </row>
    <row r="24" spans="1:4" x14ac:dyDescent="0.45">
      <c r="B24" s="4">
        <f t="shared" si="5"/>
        <v>45809</v>
      </c>
      <c r="C24" s="5">
        <f t="shared" ca="1" si="3"/>
        <v>70330450</v>
      </c>
      <c r="D24" s="6">
        <f t="shared" ca="1" si="4"/>
        <v>54</v>
      </c>
    </row>
    <row r="25" spans="1:4" x14ac:dyDescent="0.45">
      <c r="B25" s="4">
        <f t="shared" si="5"/>
        <v>45839</v>
      </c>
      <c r="C25" s="5">
        <f t="shared" ca="1" si="3"/>
        <v>66501328</v>
      </c>
      <c r="D25" s="6">
        <f t="shared" ca="1" si="4"/>
        <v>62</v>
      </c>
    </row>
    <row r="26" spans="1:4" x14ac:dyDescent="0.45">
      <c r="B26" s="4">
        <f t="shared" si="5"/>
        <v>45870</v>
      </c>
      <c r="C26" s="5">
        <f t="shared" ca="1" si="3"/>
        <v>50583658</v>
      </c>
      <c r="D26" s="6">
        <f t="shared" ca="1" si="4"/>
        <v>47</v>
      </c>
    </row>
    <row r="27" spans="1:4" x14ac:dyDescent="0.45">
      <c r="B27" s="4">
        <f t="shared" si="5"/>
        <v>45901</v>
      </c>
      <c r="C27" s="5">
        <f t="shared" ca="1" si="3"/>
        <v>60632456</v>
      </c>
      <c r="D27" s="6">
        <f t="shared" ca="1" si="4"/>
        <v>41</v>
      </c>
    </row>
    <row r="28" spans="1:4" x14ac:dyDescent="0.45">
      <c r="B28" s="4">
        <f t="shared" si="5"/>
        <v>45931</v>
      </c>
      <c r="C28" s="5">
        <f t="shared" ca="1" si="3"/>
        <v>65777488</v>
      </c>
      <c r="D28" s="6">
        <f t="shared" ca="1" si="4"/>
        <v>41</v>
      </c>
    </row>
    <row r="29" spans="1:4" x14ac:dyDescent="0.45">
      <c r="B29" s="4">
        <f t="shared" si="5"/>
        <v>45962</v>
      </c>
      <c r="C29" s="5">
        <f t="shared" ca="1" si="3"/>
        <v>66064443</v>
      </c>
      <c r="D29" s="6">
        <f t="shared" ca="1" si="4"/>
        <v>51</v>
      </c>
    </row>
    <row r="30" spans="1:4" x14ac:dyDescent="0.45">
      <c r="B30" s="4">
        <f t="shared" si="5"/>
        <v>45992</v>
      </c>
      <c r="C30" s="5">
        <f t="shared" ca="1" si="3"/>
        <v>84820176</v>
      </c>
      <c r="D30" s="6">
        <f t="shared" ca="1" si="4"/>
        <v>57</v>
      </c>
    </row>
    <row r="31" spans="1:4" x14ac:dyDescent="0.45">
      <c r="B31" s="7" t="s">
        <v>4</v>
      </c>
      <c r="C31" s="8">
        <f ca="1">SUM(C19:C30)</f>
        <v>712156463.20000005</v>
      </c>
      <c r="D31" s="9">
        <f ca="1">SUM(D19:D30)</f>
        <v>564</v>
      </c>
    </row>
    <row r="33" spans="1:4" ht="15.75" x14ac:dyDescent="0.5">
      <c r="A33" s="1"/>
      <c r="B33" s="2" t="s">
        <v>6</v>
      </c>
      <c r="C33" s="1"/>
      <c r="D33" s="1"/>
    </row>
    <row r="34" spans="1:4" x14ac:dyDescent="0.45">
      <c r="B34" s="3" t="s">
        <v>1</v>
      </c>
      <c r="C34" s="3" t="s">
        <v>2</v>
      </c>
      <c r="D34" s="3" t="s">
        <v>3</v>
      </c>
    </row>
    <row r="35" spans="1:4" x14ac:dyDescent="0.45">
      <c r="B35" s="4">
        <f>DATE(2026,1,1)</f>
        <v>46023</v>
      </c>
      <c r="C35" s="5">
        <f ca="1">SUMIFS($I$2:$I$850,$D$2:$D$850,"&gt;="&amp;B35,$D$2:$D$850,"&lt;"&amp;EDATE(B35,1))</f>
        <v>78518831</v>
      </c>
      <c r="D35" s="6">
        <f ca="1">COUNTIFS($D$2:$D$850,"&gt;="&amp;B35,$D$2:$D$850,"&lt;"&amp;EDATE(B35,1))</f>
        <v>54</v>
      </c>
    </row>
    <row r="36" spans="1:4" x14ac:dyDescent="0.45">
      <c r="B36" s="4">
        <f>EDATE(B35,1)</f>
        <v>46054</v>
      </c>
      <c r="C36" s="5">
        <f t="shared" ref="C36:C46" ca="1" si="6">SUMIFS($I$2:$I$850,$D$2:$D$850,"&gt;="&amp;B36,$D$2:$D$850,"&lt;"&amp;EDATE(B36,1))</f>
        <v>48553601</v>
      </c>
      <c r="D36" s="6">
        <f t="shared" ref="D36:D46" ca="1" si="7">COUNTIFS($D$2:$D$850,"&gt;="&amp;B36,$D$2:$D$850,"&lt;"&amp;EDATE(B36,1))</f>
        <v>42</v>
      </c>
    </row>
    <row r="37" spans="1:4" x14ac:dyDescent="0.45">
      <c r="B37" s="4">
        <f t="shared" ref="B37:B46" si="8">EDATE(B36,1)</f>
        <v>46082</v>
      </c>
      <c r="C37" s="5">
        <f t="shared" ca="1" si="6"/>
        <v>93368120</v>
      </c>
      <c r="D37" s="6">
        <f t="shared" ca="1" si="7"/>
        <v>76</v>
      </c>
    </row>
    <row r="38" spans="1:4" x14ac:dyDescent="0.45">
      <c r="B38" s="4">
        <f t="shared" si="8"/>
        <v>46113</v>
      </c>
      <c r="C38" s="5">
        <f t="shared" ca="1" si="6"/>
        <v>83623348</v>
      </c>
      <c r="D38" s="6">
        <f t="shared" ca="1" si="7"/>
        <v>69</v>
      </c>
    </row>
    <row r="39" spans="1:4" x14ac:dyDescent="0.45">
      <c r="B39" s="4">
        <f t="shared" si="8"/>
        <v>46143</v>
      </c>
      <c r="C39" s="5">
        <f t="shared" ca="1" si="6"/>
        <v>106284523</v>
      </c>
      <c r="D39" s="6">
        <f t="shared" ca="1" si="7"/>
        <v>92</v>
      </c>
    </row>
    <row r="40" spans="1:4" x14ac:dyDescent="0.45">
      <c r="B40" s="4">
        <f t="shared" si="8"/>
        <v>46174</v>
      </c>
      <c r="C40" s="5">
        <f t="shared" ca="1" si="6"/>
        <v>99043357</v>
      </c>
      <c r="D40" s="6">
        <f t="shared" ca="1" si="7"/>
        <v>89</v>
      </c>
    </row>
    <row r="41" spans="1:4" x14ac:dyDescent="0.45">
      <c r="B41" s="4">
        <f t="shared" si="8"/>
        <v>46204</v>
      </c>
      <c r="C41" s="5">
        <f t="shared" ca="1" si="6"/>
        <v>149935554</v>
      </c>
      <c r="D41" s="6">
        <f t="shared" ca="1" si="7"/>
        <v>131</v>
      </c>
    </row>
    <row r="42" spans="1:4" x14ac:dyDescent="0.45">
      <c r="B42" s="4">
        <f t="shared" si="8"/>
        <v>46235</v>
      </c>
      <c r="C42" s="5">
        <f t="shared" ca="1" si="6"/>
        <v>245046913</v>
      </c>
      <c r="D42" s="6">
        <f t="shared" ca="1" si="7"/>
        <v>128</v>
      </c>
    </row>
    <row r="43" spans="1:4" x14ac:dyDescent="0.45">
      <c r="B43" s="4">
        <f t="shared" si="8"/>
        <v>46266</v>
      </c>
      <c r="C43" s="5">
        <f t="shared" ca="1" si="6"/>
        <v>199449873</v>
      </c>
      <c r="D43" s="6">
        <f t="shared" ca="1" si="7"/>
        <v>109</v>
      </c>
    </row>
    <row r="44" spans="1:4" x14ac:dyDescent="0.45">
      <c r="B44" s="4">
        <f t="shared" si="8"/>
        <v>46296</v>
      </c>
      <c r="C44" s="5">
        <f t="shared" ca="1" si="6"/>
        <v>101177881</v>
      </c>
      <c r="D44" s="6">
        <f t="shared" ca="1" si="7"/>
        <v>41</v>
      </c>
    </row>
    <row r="45" spans="1:4" x14ac:dyDescent="0.45">
      <c r="B45" s="4">
        <f t="shared" si="8"/>
        <v>46327</v>
      </c>
      <c r="C45" s="5">
        <f t="shared" ca="1" si="6"/>
        <v>5065370</v>
      </c>
      <c r="D45" s="6">
        <f t="shared" ca="1" si="7"/>
        <v>3</v>
      </c>
    </row>
    <row r="46" spans="1:4" x14ac:dyDescent="0.45">
      <c r="B46" s="4">
        <f t="shared" si="8"/>
        <v>46357</v>
      </c>
      <c r="C46" s="5">
        <f t="shared" ca="1" si="6"/>
        <v>33663683</v>
      </c>
      <c r="D46" s="6">
        <f t="shared" ca="1" si="7"/>
        <v>10</v>
      </c>
    </row>
    <row r="47" spans="1:4" x14ac:dyDescent="0.45">
      <c r="B47" s="7" t="s">
        <v>4</v>
      </c>
      <c r="C47" s="8">
        <f ca="1">SUM(C35:C46)</f>
        <v>1243731054</v>
      </c>
      <c r="D47" s="9">
        <f ca="1">SUM(D35:D46)</f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cex ..</dc:creator>
  <cp:lastModifiedBy>cex ..</cp:lastModifiedBy>
  <dcterms:created xsi:type="dcterms:W3CDTF">2026-09-29T13:06:43Z</dcterms:created>
  <dcterms:modified xsi:type="dcterms:W3CDTF">2026-09-29T13:08:06Z</dcterms:modified>
</cp:coreProperties>
</file>