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i Fernando\Downloads\"/>
    </mc:Choice>
  </mc:AlternateContent>
  <xr:revisionPtr revIDLastSave="0" documentId="8_{0D7875E1-8014-4564-BB0E-A34FEA4D0A69}" xr6:coauthVersionLast="47" xr6:coauthVersionMax="47" xr10:uidLastSave="{00000000-0000-0000-0000-000000000000}"/>
  <bookViews>
    <workbookView xWindow="-98" yWindow="-98" windowWidth="21795" windowHeight="12975" xr2:uid="{E074B8F5-D33E-49E2-AF11-465C877AF2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1" i="1" l="1"/>
  <c r="F31" i="1"/>
  <c r="F30" i="1"/>
  <c r="J30" i="1" s="1"/>
  <c r="F29" i="1"/>
  <c r="J29" i="1" s="1"/>
  <c r="F28" i="1"/>
  <c r="J28" i="1" s="1"/>
  <c r="F27" i="1"/>
  <c r="J27" i="1" s="1"/>
  <c r="F26" i="1"/>
  <c r="J26" i="1" s="1"/>
  <c r="F25" i="1"/>
  <c r="J25" i="1" s="1"/>
  <c r="F24" i="1"/>
  <c r="J24" i="1" s="1"/>
  <c r="F23" i="1"/>
  <c r="J23" i="1" s="1"/>
  <c r="F22" i="1"/>
  <c r="J22" i="1" s="1"/>
  <c r="F21" i="1"/>
  <c r="J21" i="1" s="1"/>
  <c r="J20" i="1"/>
  <c r="F20" i="1"/>
  <c r="F19" i="1"/>
  <c r="J19" i="1" s="1"/>
  <c r="F18" i="1"/>
  <c r="J18" i="1" s="1"/>
  <c r="F17" i="1"/>
  <c r="J17" i="1" s="1"/>
  <c r="F16" i="1"/>
  <c r="J16" i="1" s="1"/>
  <c r="F15" i="1"/>
  <c r="J15" i="1" s="1"/>
  <c r="F14" i="1"/>
  <c r="J14" i="1" s="1"/>
  <c r="F13" i="1"/>
  <c r="J13" i="1" s="1"/>
  <c r="F12" i="1"/>
  <c r="J12" i="1" s="1"/>
  <c r="F11" i="1"/>
  <c r="J11" i="1" s="1"/>
  <c r="J10" i="1"/>
  <c r="F10" i="1"/>
  <c r="J9" i="1"/>
  <c r="F9" i="1"/>
  <c r="F8" i="1"/>
  <c r="J8" i="1" s="1"/>
  <c r="F7" i="1"/>
  <c r="J7" i="1" s="1"/>
  <c r="F6" i="1"/>
  <c r="J6" i="1" s="1"/>
  <c r="F5" i="1"/>
  <c r="J5" i="1" s="1"/>
  <c r="F4" i="1"/>
  <c r="J4" i="1" s="1"/>
  <c r="F3" i="1"/>
  <c r="J3" i="1" s="1"/>
  <c r="F2" i="1"/>
  <c r="J2" i="1" s="1"/>
  <c r="F1" i="1"/>
  <c r="J1" i="1" s="1"/>
</calcChain>
</file>

<file path=xl/sharedStrings.xml><?xml version="1.0" encoding="utf-8"?>
<sst xmlns="http://schemas.openxmlformats.org/spreadsheetml/2006/main" count="118" uniqueCount="76">
  <si>
    <t>Reza Meilanie</t>
  </si>
  <si>
    <t>Agoda</t>
  </si>
  <si>
    <t>Thearence</t>
  </si>
  <si>
    <t>VIB</t>
  </si>
  <si>
    <t>62 87884511754</t>
  </si>
  <si>
    <t>Indira Aviana</t>
  </si>
  <si>
    <t>TGV</t>
  </si>
  <si>
    <t>Airbnb</t>
  </si>
  <si>
    <t>‪+62 812-1044-1154‬</t>
  </si>
  <si>
    <t>Fransisca</t>
  </si>
  <si>
    <t>‪+62 822-6102-3906‬</t>
  </si>
  <si>
    <t>DP 2,9jt</t>
  </si>
  <si>
    <t>Vernanda Octaviane Wijaya</t>
  </si>
  <si>
    <t>‪+62 811-1663-2038‬</t>
  </si>
  <si>
    <t>Lydia P</t>
  </si>
  <si>
    <t>GCA</t>
  </si>
  <si>
    <t>‪+62 856-9225-6856‬</t>
  </si>
  <si>
    <t>Trito Kimin</t>
  </si>
  <si>
    <t>62 811947648</t>
  </si>
  <si>
    <t>A</t>
  </si>
  <si>
    <t>Cindy</t>
  </si>
  <si>
    <t>AWN</t>
  </si>
  <si>
    <t>Yosan</t>
  </si>
  <si>
    <t>‪+62 81-8089-67679</t>
  </si>
  <si>
    <t>Merlin Wijayanti</t>
  </si>
  <si>
    <t>‪+62 878-8568-9798‬</t>
  </si>
  <si>
    <t>Listiana Setiady</t>
  </si>
  <si>
    <t>‪+62 878-8307-7788‬</t>
  </si>
  <si>
    <t>Agus Murdadi</t>
  </si>
  <si>
    <t>X4</t>
  </si>
  <si>
    <t>‪+62 838-9210-3337‬</t>
  </si>
  <si>
    <t>Repin Ibrahim</t>
  </si>
  <si>
    <t>‪+60 14-635 7670‬</t>
  </si>
  <si>
    <t>Sitta Darmaningtyas</t>
  </si>
  <si>
    <t>‪+62 857-2902-3929‬</t>
  </si>
  <si>
    <t>Fajrin Hapid</t>
  </si>
  <si>
    <t>‪+62 856-5921-0860‬</t>
  </si>
  <si>
    <t>Salsabila Putri</t>
  </si>
  <si>
    <t>Booking</t>
  </si>
  <si>
    <t>tel:+62 877 7556 6707</t>
  </si>
  <si>
    <t>Anasthasia Sabatini</t>
  </si>
  <si>
    <t>Dewi Dwi Aprillia Dewi</t>
  </si>
  <si>
    <t>‪+62 853-3322-9959‬</t>
  </si>
  <si>
    <t>Amadea Nindya</t>
  </si>
  <si>
    <t>‪+62 878-5115-1271‬</t>
  </si>
  <si>
    <t>Lydia</t>
  </si>
  <si>
    <t>AL12</t>
  </si>
  <si>
    <t>081284611148</t>
  </si>
  <si>
    <t>Dara Lengkong</t>
  </si>
  <si>
    <t>Dago</t>
  </si>
  <si>
    <t>tel:+1 202 203 8910</t>
  </si>
  <si>
    <t>CANCEL</t>
  </si>
  <si>
    <t>Mutia Rizqy</t>
  </si>
  <si>
    <t>‪+62 813-1149-9429‬</t>
  </si>
  <si>
    <t>Sherlin Rusli</t>
  </si>
  <si>
    <t>‪+62 858-1029-8010‬</t>
  </si>
  <si>
    <t>Bagus Aj</t>
  </si>
  <si>
    <t>‪+62 882-9364-1011‬</t>
  </si>
  <si>
    <t>Daisy Kurnia</t>
  </si>
  <si>
    <t>‪+62 858-1475-7819‬</t>
  </si>
  <si>
    <t>Tarisa Githa Permata</t>
  </si>
  <si>
    <t>62 85353332145</t>
  </si>
  <si>
    <t>Putri Rahmadani</t>
  </si>
  <si>
    <t>‪+62 822-8167-9273‬</t>
  </si>
  <si>
    <t>Suryadi</t>
  </si>
  <si>
    <t>‪+62 817-0776-383‬</t>
  </si>
  <si>
    <t>Wafa Syafinaz</t>
  </si>
  <si>
    <t>tel:+60 18 474 8442</t>
  </si>
  <si>
    <t>Livia Lorenza Banjar Nahor</t>
  </si>
  <si>
    <t>‪+62 823-3022-2755‬</t>
  </si>
  <si>
    <t>U</t>
  </si>
  <si>
    <t>Rena Young Wife</t>
  </si>
  <si>
    <t>AZR</t>
  </si>
  <si>
    <t>‪+65 8523 4048‬</t>
  </si>
  <si>
    <t>Karina Febriola</t>
  </si>
  <si>
    <t>‪+62 877-8506-4419‬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</si>
</sst>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0" borderId="0" xfId="2" applyFill="1"/>
    <xf numFmtId="164" fontId="0" fillId="0" borderId="0" xfId="1" applyNumberFormat="1" applyFont="1" applyFill="1"/>
    <xf numFmtId="0" fontId="2" fillId="0" borderId="0" xfId="2" quotePrefix="1" applyFill="1"/>
    <xf numFmtId="0" fontId="0" fillId="3" borderId="0" xfId="0" applyFill="1"/>
    <xf numFmtId="0" fontId="0" fillId="4" borderId="0" xfId="0" applyFill="1" applyAlignment="1">
      <alignment horizontal="center" vertical="center"/>
    </xf>
    <xf numFmtId="16" fontId="0" fillId="4" borderId="0" xfId="0" applyNumberFormat="1" applyFill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0" fontId="0" fillId="4" borderId="0" xfId="0" applyFill="1"/>
    <xf numFmtId="0" fontId="2" fillId="4" borderId="0" xfId="2" applyFill="1"/>
    <xf numFmtId="164" fontId="0" fillId="4" borderId="0" xfId="1" applyNumberFormat="1" applyFont="1" applyFill="1"/>
    <xf numFmtId="0" fontId="0" fillId="4" borderId="0" xfId="0" applyFill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A2928-B000-4749-A9C1-FCB470183B6D}">
  <dimension ref="A1:M31"/>
  <sheetViews>
    <sheetView tabSelected="1" workbookViewId="0">
      <selection activeCell="K40" sqref="K40"/>
    </sheetView>
  </sheetViews>
  <sheetFormatPr defaultRowHeight="14.25" x14ac:dyDescent="0.45"/>
  <cols>
    <col min="2" max="2" width="22.6640625" bestFit="1" customWidth="1"/>
    <col min="3" max="3" width="4.86328125" bestFit="1" customWidth="1"/>
    <col min="4" max="5" width="6.46484375" bestFit="1" customWidth="1"/>
    <col min="6" max="6" width="4.19921875" bestFit="1" customWidth="1"/>
    <col min="7" max="7" width="7.06640625" bestFit="1" customWidth="1"/>
    <col min="8" max="8" width="18.796875" bestFit="1" customWidth="1"/>
    <col min="9" max="9" width="10.86328125" bestFit="1" customWidth="1"/>
    <col min="10" max="10" width="9.86328125" bestFit="1" customWidth="1"/>
  </cols>
  <sheetData>
    <row r="1" spans="1:13" x14ac:dyDescent="0.45">
      <c r="A1" s="1"/>
      <c r="B1" s="2" t="s">
        <v>0</v>
      </c>
      <c r="C1" s="3">
        <v>11</v>
      </c>
      <c r="D1" s="4">
        <v>46300</v>
      </c>
      <c r="E1" s="4">
        <v>46301</v>
      </c>
      <c r="F1" s="5">
        <f t="shared" ref="F1:F31" si="0">E1-D1</f>
        <v>1</v>
      </c>
      <c r="G1" t="s">
        <v>1</v>
      </c>
      <c r="H1" s="6"/>
      <c r="I1" s="7">
        <v>764191</v>
      </c>
      <c r="J1" s="7">
        <f t="shared" ref="J1:J31" si="1">I1/F1</f>
        <v>764191</v>
      </c>
      <c r="K1" s="1"/>
      <c r="L1" s="3"/>
    </row>
    <row r="2" spans="1:13" hidden="1" x14ac:dyDescent="0.45">
      <c r="A2" s="1"/>
      <c r="B2" t="s">
        <v>2</v>
      </c>
      <c r="C2" s="3" t="s">
        <v>3</v>
      </c>
      <c r="D2" s="4">
        <v>46301</v>
      </c>
      <c r="E2" s="4">
        <v>46303</v>
      </c>
      <c r="F2" s="5">
        <f t="shared" si="0"/>
        <v>2</v>
      </c>
      <c r="G2" t="s">
        <v>1</v>
      </c>
      <c r="H2" s="6" t="s">
        <v>4</v>
      </c>
      <c r="I2" s="7">
        <v>1799250</v>
      </c>
      <c r="J2" s="7">
        <f t="shared" si="1"/>
        <v>899625</v>
      </c>
      <c r="K2" s="1"/>
      <c r="L2" s="3"/>
    </row>
    <row r="3" spans="1:13" hidden="1" x14ac:dyDescent="0.45">
      <c r="A3" s="1"/>
      <c r="B3" t="s">
        <v>5</v>
      </c>
      <c r="C3" s="3" t="s">
        <v>6</v>
      </c>
      <c r="D3" s="4">
        <v>46302</v>
      </c>
      <c r="E3" s="4">
        <v>46303</v>
      </c>
      <c r="F3" s="5">
        <f t="shared" si="0"/>
        <v>1</v>
      </c>
      <c r="G3" t="s">
        <v>7</v>
      </c>
      <c r="H3" s="6" t="s">
        <v>8</v>
      </c>
      <c r="I3" s="7">
        <v>5350000</v>
      </c>
      <c r="J3" s="7">
        <f t="shared" si="1"/>
        <v>5350000</v>
      </c>
      <c r="K3" s="1"/>
      <c r="L3" s="3"/>
    </row>
    <row r="4" spans="1:13" hidden="1" x14ac:dyDescent="0.45">
      <c r="A4" s="1"/>
      <c r="B4" t="s">
        <v>9</v>
      </c>
      <c r="C4" s="3">
        <v>18</v>
      </c>
      <c r="D4" s="4">
        <v>46304</v>
      </c>
      <c r="E4" s="4">
        <v>46306</v>
      </c>
      <c r="F4" s="5">
        <f t="shared" si="0"/>
        <v>2</v>
      </c>
      <c r="G4" t="s">
        <v>7</v>
      </c>
      <c r="H4" s="6" t="s">
        <v>10</v>
      </c>
      <c r="I4" s="7">
        <v>942472</v>
      </c>
      <c r="J4" s="7">
        <f t="shared" si="1"/>
        <v>471236</v>
      </c>
      <c r="K4" s="1"/>
      <c r="L4" s="3"/>
      <c r="M4" t="s">
        <v>11</v>
      </c>
    </row>
    <row r="5" spans="1:13" hidden="1" x14ac:dyDescent="0.45">
      <c r="A5" s="1"/>
      <c r="B5" t="s">
        <v>12</v>
      </c>
      <c r="C5" s="3">
        <v>19</v>
      </c>
      <c r="D5" s="4">
        <v>46304</v>
      </c>
      <c r="E5" s="4">
        <v>46306</v>
      </c>
      <c r="F5" s="5">
        <f t="shared" si="0"/>
        <v>2</v>
      </c>
      <c r="G5" t="s">
        <v>7</v>
      </c>
      <c r="H5" s="6" t="s">
        <v>13</v>
      </c>
      <c r="I5" s="7">
        <v>1429803</v>
      </c>
      <c r="J5" s="7">
        <f t="shared" si="1"/>
        <v>714901.5</v>
      </c>
      <c r="K5" s="1"/>
      <c r="L5" s="3"/>
      <c r="M5" t="s">
        <v>11</v>
      </c>
    </row>
    <row r="6" spans="1:13" hidden="1" x14ac:dyDescent="0.45">
      <c r="A6" s="1"/>
      <c r="B6" t="s">
        <v>14</v>
      </c>
      <c r="C6" s="3" t="s">
        <v>15</v>
      </c>
      <c r="D6" s="4">
        <v>46304</v>
      </c>
      <c r="E6" s="4">
        <v>46306</v>
      </c>
      <c r="F6" s="5">
        <f t="shared" si="0"/>
        <v>2</v>
      </c>
      <c r="G6" t="s">
        <v>7</v>
      </c>
      <c r="H6" s="6" t="s">
        <v>16</v>
      </c>
      <c r="I6" s="7">
        <v>748064</v>
      </c>
      <c r="J6" s="7">
        <f t="shared" si="1"/>
        <v>374032</v>
      </c>
      <c r="K6" s="1"/>
      <c r="L6" s="3"/>
      <c r="M6" t="s">
        <v>11</v>
      </c>
    </row>
    <row r="7" spans="1:13" hidden="1" x14ac:dyDescent="0.45">
      <c r="A7" s="1"/>
      <c r="B7" t="s">
        <v>17</v>
      </c>
      <c r="C7" s="3" t="s">
        <v>3</v>
      </c>
      <c r="D7" s="4">
        <v>46304</v>
      </c>
      <c r="E7" s="4">
        <v>46306</v>
      </c>
      <c r="F7" s="5">
        <f t="shared" si="0"/>
        <v>2</v>
      </c>
      <c r="G7" t="s">
        <v>1</v>
      </c>
      <c r="H7" s="6" t="s">
        <v>18</v>
      </c>
      <c r="I7" s="7">
        <v>2333384</v>
      </c>
      <c r="J7" s="7">
        <f t="shared" si="1"/>
        <v>1166692</v>
      </c>
      <c r="K7" s="1"/>
      <c r="L7" s="3"/>
      <c r="M7" t="s">
        <v>11</v>
      </c>
    </row>
    <row r="8" spans="1:13" hidden="1" x14ac:dyDescent="0.45">
      <c r="A8" s="1" t="s">
        <v>19</v>
      </c>
      <c r="B8" t="s">
        <v>20</v>
      </c>
      <c r="C8" s="3" t="s">
        <v>21</v>
      </c>
      <c r="D8" s="4">
        <v>46304</v>
      </c>
      <c r="E8" s="4">
        <v>46306</v>
      </c>
      <c r="F8" s="5">
        <f t="shared" si="0"/>
        <v>2</v>
      </c>
      <c r="G8" t="s">
        <v>22</v>
      </c>
      <c r="H8" s="6" t="s">
        <v>23</v>
      </c>
      <c r="I8" s="7">
        <v>10468000</v>
      </c>
      <c r="J8" s="7">
        <f t="shared" si="1"/>
        <v>5234000</v>
      </c>
      <c r="K8" s="1"/>
      <c r="L8" s="3"/>
      <c r="M8" t="s">
        <v>11</v>
      </c>
    </row>
    <row r="9" spans="1:13" hidden="1" x14ac:dyDescent="0.45">
      <c r="A9" s="1"/>
      <c r="B9" t="s">
        <v>24</v>
      </c>
      <c r="C9" s="3">
        <v>7</v>
      </c>
      <c r="D9" s="4">
        <v>46305</v>
      </c>
      <c r="E9" s="4">
        <v>46306</v>
      </c>
      <c r="F9" s="5">
        <f t="shared" si="0"/>
        <v>1</v>
      </c>
      <c r="G9" t="s">
        <v>7</v>
      </c>
      <c r="H9" s="6" t="s">
        <v>25</v>
      </c>
      <c r="I9" s="7">
        <v>512667</v>
      </c>
      <c r="J9" s="7">
        <f t="shared" si="1"/>
        <v>512667</v>
      </c>
      <c r="K9" s="1"/>
      <c r="L9" s="3"/>
    </row>
    <row r="10" spans="1:13" hidden="1" x14ac:dyDescent="0.45">
      <c r="A10" s="1"/>
      <c r="B10" t="s">
        <v>26</v>
      </c>
      <c r="C10" s="3">
        <v>11</v>
      </c>
      <c r="D10" s="4">
        <v>46305</v>
      </c>
      <c r="E10" s="4">
        <v>46306</v>
      </c>
      <c r="F10" s="5">
        <f t="shared" si="0"/>
        <v>1</v>
      </c>
      <c r="G10" t="s">
        <v>7</v>
      </c>
      <c r="H10" s="6" t="s">
        <v>27</v>
      </c>
      <c r="I10" s="7">
        <v>931444</v>
      </c>
      <c r="J10" s="7">
        <f t="shared" si="1"/>
        <v>931444</v>
      </c>
      <c r="K10" s="1"/>
      <c r="L10" s="3"/>
    </row>
    <row r="11" spans="1:13" hidden="1" x14ac:dyDescent="0.45">
      <c r="A11" s="1" t="s">
        <v>19</v>
      </c>
      <c r="B11" t="s">
        <v>28</v>
      </c>
      <c r="C11" s="3" t="s">
        <v>29</v>
      </c>
      <c r="D11" s="4">
        <v>46305</v>
      </c>
      <c r="E11" s="4">
        <v>46306</v>
      </c>
      <c r="F11" s="5">
        <f t="shared" si="0"/>
        <v>1</v>
      </c>
      <c r="G11" t="s">
        <v>7</v>
      </c>
      <c r="H11" s="6" t="s">
        <v>30</v>
      </c>
      <c r="I11" s="7">
        <v>1522766</v>
      </c>
      <c r="J11" s="7">
        <f t="shared" si="1"/>
        <v>1522766</v>
      </c>
      <c r="K11" s="1"/>
      <c r="L11" s="3"/>
    </row>
    <row r="12" spans="1:13" hidden="1" x14ac:dyDescent="0.45">
      <c r="A12" s="1"/>
      <c r="B12" t="s">
        <v>31</v>
      </c>
      <c r="C12" s="3">
        <v>19</v>
      </c>
      <c r="D12" s="4">
        <v>46307</v>
      </c>
      <c r="E12" s="4">
        <v>46309</v>
      </c>
      <c r="F12" s="5">
        <f t="shared" si="0"/>
        <v>2</v>
      </c>
      <c r="G12" t="s">
        <v>7</v>
      </c>
      <c r="H12" s="6" t="s">
        <v>32</v>
      </c>
      <c r="I12" s="7">
        <v>1219224</v>
      </c>
      <c r="J12" s="7">
        <f t="shared" si="1"/>
        <v>609612</v>
      </c>
      <c r="K12" s="1"/>
      <c r="L12" s="3"/>
    </row>
    <row r="13" spans="1:13" hidden="1" x14ac:dyDescent="0.45">
      <c r="A13" s="1" t="s">
        <v>19</v>
      </c>
      <c r="B13" t="s">
        <v>33</v>
      </c>
      <c r="C13" s="3" t="s">
        <v>21</v>
      </c>
      <c r="D13" s="4">
        <v>46307</v>
      </c>
      <c r="E13" s="4">
        <v>46308</v>
      </c>
      <c r="F13" s="5">
        <f t="shared" si="0"/>
        <v>1</v>
      </c>
      <c r="G13" t="s">
        <v>7</v>
      </c>
      <c r="H13" s="6" t="s">
        <v>34</v>
      </c>
      <c r="I13" s="7">
        <v>5712027</v>
      </c>
      <c r="J13" s="7">
        <f t="shared" si="1"/>
        <v>5712027</v>
      </c>
      <c r="K13" s="1"/>
      <c r="L13" s="3"/>
    </row>
    <row r="14" spans="1:13" hidden="1" x14ac:dyDescent="0.45">
      <c r="A14" s="1"/>
      <c r="B14" t="s">
        <v>35</v>
      </c>
      <c r="C14" s="3" t="s">
        <v>15</v>
      </c>
      <c r="D14" s="4">
        <v>46309</v>
      </c>
      <c r="E14" s="4">
        <v>46310</v>
      </c>
      <c r="F14" s="5">
        <f t="shared" si="0"/>
        <v>1</v>
      </c>
      <c r="G14" t="s">
        <v>7</v>
      </c>
      <c r="H14" s="6" t="s">
        <v>36</v>
      </c>
      <c r="I14" s="7">
        <v>377048</v>
      </c>
      <c r="J14" s="7">
        <f t="shared" si="1"/>
        <v>377048</v>
      </c>
      <c r="K14" s="1"/>
      <c r="L14" s="3"/>
    </row>
    <row r="15" spans="1:13" hidden="1" x14ac:dyDescent="0.45">
      <c r="A15" s="1"/>
      <c r="B15" t="s">
        <v>37</v>
      </c>
      <c r="C15" s="3">
        <v>7</v>
      </c>
      <c r="D15" s="4">
        <v>46311</v>
      </c>
      <c r="E15" s="4">
        <v>46313</v>
      </c>
      <c r="F15" s="5">
        <f t="shared" si="0"/>
        <v>2</v>
      </c>
      <c r="G15" t="s">
        <v>38</v>
      </c>
      <c r="H15" s="6" t="s">
        <v>39</v>
      </c>
      <c r="I15" s="7">
        <v>1053497</v>
      </c>
      <c r="J15" s="7">
        <f t="shared" si="1"/>
        <v>526748.5</v>
      </c>
      <c r="K15" s="1"/>
      <c r="L15" s="3"/>
    </row>
    <row r="16" spans="1:13" x14ac:dyDescent="0.45">
      <c r="A16" s="1"/>
      <c r="B16" s="2" t="s">
        <v>40</v>
      </c>
      <c r="C16" s="3" t="s">
        <v>3</v>
      </c>
      <c r="D16" s="4">
        <v>46311</v>
      </c>
      <c r="E16" s="4">
        <v>46314</v>
      </c>
      <c r="F16" s="5">
        <f t="shared" si="0"/>
        <v>3</v>
      </c>
      <c r="G16" t="s">
        <v>1</v>
      </c>
      <c r="H16" s="6"/>
      <c r="I16" s="7">
        <v>3233009</v>
      </c>
      <c r="J16" s="7">
        <f t="shared" si="1"/>
        <v>1077669.6666666667</v>
      </c>
      <c r="K16" s="1"/>
      <c r="L16" s="3"/>
    </row>
    <row r="17" spans="1:13" hidden="1" x14ac:dyDescent="0.45">
      <c r="A17" s="1"/>
      <c r="B17" t="s">
        <v>41</v>
      </c>
      <c r="C17" s="3">
        <v>19</v>
      </c>
      <c r="D17" s="4">
        <v>46312</v>
      </c>
      <c r="E17" s="4">
        <v>46313</v>
      </c>
      <c r="F17" s="5">
        <f t="shared" si="0"/>
        <v>1</v>
      </c>
      <c r="G17" t="s">
        <v>7</v>
      </c>
      <c r="H17" s="6" t="s">
        <v>42</v>
      </c>
      <c r="I17" s="7">
        <v>714902</v>
      </c>
      <c r="J17" s="7">
        <f t="shared" si="1"/>
        <v>714902</v>
      </c>
      <c r="K17" s="1"/>
      <c r="L17" s="3"/>
    </row>
    <row r="18" spans="1:13" hidden="1" x14ac:dyDescent="0.45">
      <c r="A18" s="1"/>
      <c r="B18" t="s">
        <v>43</v>
      </c>
      <c r="C18" s="3" t="s">
        <v>15</v>
      </c>
      <c r="D18" s="4">
        <v>46312</v>
      </c>
      <c r="E18" s="4">
        <v>46313</v>
      </c>
      <c r="F18" s="5">
        <f t="shared" si="0"/>
        <v>1</v>
      </c>
      <c r="G18" t="s">
        <v>7</v>
      </c>
      <c r="H18" s="6" t="s">
        <v>44</v>
      </c>
      <c r="I18" s="7">
        <v>415591</v>
      </c>
      <c r="J18" s="7">
        <f t="shared" si="1"/>
        <v>415591</v>
      </c>
      <c r="K18" s="1"/>
      <c r="L18" s="3"/>
    </row>
    <row r="19" spans="1:13" hidden="1" x14ac:dyDescent="0.45">
      <c r="A19" s="1"/>
      <c r="B19" t="s">
        <v>45</v>
      </c>
      <c r="C19" s="3" t="s">
        <v>46</v>
      </c>
      <c r="D19" s="4">
        <v>46312</v>
      </c>
      <c r="E19" s="4">
        <v>46313</v>
      </c>
      <c r="F19" s="5">
        <f t="shared" si="0"/>
        <v>1</v>
      </c>
      <c r="G19" t="s">
        <v>22</v>
      </c>
      <c r="H19" s="8" t="s">
        <v>47</v>
      </c>
      <c r="I19" s="7">
        <v>3745186</v>
      </c>
      <c r="J19" s="7">
        <f t="shared" si="1"/>
        <v>3745186</v>
      </c>
      <c r="K19" s="1"/>
      <c r="L19" s="3"/>
    </row>
    <row r="20" spans="1:13" hidden="1" x14ac:dyDescent="0.45">
      <c r="A20" s="1"/>
      <c r="B20" s="9" t="s">
        <v>48</v>
      </c>
      <c r="C20" s="3" t="s">
        <v>49</v>
      </c>
      <c r="D20" s="4">
        <v>46312</v>
      </c>
      <c r="E20" s="4">
        <v>46313</v>
      </c>
      <c r="F20" s="5">
        <f t="shared" si="0"/>
        <v>1</v>
      </c>
      <c r="G20" t="s">
        <v>38</v>
      </c>
      <c r="H20" s="6" t="s">
        <v>50</v>
      </c>
      <c r="I20" s="7">
        <v>1280000</v>
      </c>
      <c r="J20" s="7">
        <f t="shared" si="1"/>
        <v>1280000</v>
      </c>
      <c r="K20" s="1"/>
      <c r="L20" s="3" t="s">
        <v>51</v>
      </c>
    </row>
    <row r="21" spans="1:13" hidden="1" x14ac:dyDescent="0.45">
      <c r="A21" s="1"/>
      <c r="B21" t="s">
        <v>52</v>
      </c>
      <c r="C21" s="3">
        <v>18</v>
      </c>
      <c r="D21" s="4">
        <v>46318</v>
      </c>
      <c r="E21" s="4">
        <v>46319</v>
      </c>
      <c r="F21" s="5">
        <f t="shared" si="0"/>
        <v>1</v>
      </c>
      <c r="G21" t="s">
        <v>7</v>
      </c>
      <c r="H21" s="6" t="s">
        <v>53</v>
      </c>
      <c r="I21" s="7">
        <v>445056</v>
      </c>
      <c r="J21" s="7">
        <f t="shared" si="1"/>
        <v>445056</v>
      </c>
      <c r="K21" s="1"/>
      <c r="L21" s="3"/>
    </row>
    <row r="22" spans="1:13" hidden="1" x14ac:dyDescent="0.45">
      <c r="A22" s="1"/>
      <c r="B22" t="s">
        <v>54</v>
      </c>
      <c r="C22" s="3" t="s">
        <v>15</v>
      </c>
      <c r="D22" s="4">
        <v>46318</v>
      </c>
      <c r="E22" s="4">
        <v>46320</v>
      </c>
      <c r="F22" s="5">
        <f t="shared" si="0"/>
        <v>2</v>
      </c>
      <c r="G22" t="s">
        <v>7</v>
      </c>
      <c r="H22" s="6" t="s">
        <v>55</v>
      </c>
      <c r="I22" s="7">
        <v>748064</v>
      </c>
      <c r="J22" s="7">
        <f t="shared" si="1"/>
        <v>374032</v>
      </c>
      <c r="K22" s="1"/>
      <c r="L22" s="3"/>
    </row>
    <row r="23" spans="1:13" hidden="1" x14ac:dyDescent="0.45">
      <c r="A23" s="1"/>
      <c r="B23" t="s">
        <v>56</v>
      </c>
      <c r="C23" s="3">
        <v>7</v>
      </c>
      <c r="D23" s="4">
        <v>46319</v>
      </c>
      <c r="E23" s="4">
        <v>46320</v>
      </c>
      <c r="F23" s="5">
        <f t="shared" si="0"/>
        <v>1</v>
      </c>
      <c r="G23" t="s">
        <v>7</v>
      </c>
      <c r="H23" s="6" t="s">
        <v>57</v>
      </c>
      <c r="I23" s="7">
        <v>512667</v>
      </c>
      <c r="J23" s="7">
        <f t="shared" si="1"/>
        <v>512667</v>
      </c>
      <c r="K23" s="1"/>
      <c r="L23" s="3"/>
    </row>
    <row r="24" spans="1:13" hidden="1" x14ac:dyDescent="0.45">
      <c r="A24" s="1"/>
      <c r="B24" t="s">
        <v>58</v>
      </c>
      <c r="C24" s="3">
        <v>19</v>
      </c>
      <c r="D24" s="4">
        <v>46319</v>
      </c>
      <c r="E24" s="4">
        <v>46320</v>
      </c>
      <c r="F24" s="5">
        <f t="shared" si="0"/>
        <v>1</v>
      </c>
      <c r="G24" t="s">
        <v>7</v>
      </c>
      <c r="H24" s="6" t="s">
        <v>59</v>
      </c>
      <c r="I24" s="7">
        <v>714902</v>
      </c>
      <c r="J24" s="7">
        <f t="shared" si="1"/>
        <v>714902</v>
      </c>
      <c r="K24" s="1"/>
      <c r="L24" s="3"/>
    </row>
    <row r="25" spans="1:13" hidden="1" x14ac:dyDescent="0.45">
      <c r="A25" s="1"/>
      <c r="B25" t="s">
        <v>60</v>
      </c>
      <c r="C25" s="3" t="s">
        <v>3</v>
      </c>
      <c r="D25" s="4">
        <v>46319</v>
      </c>
      <c r="E25" s="4">
        <v>46320</v>
      </c>
      <c r="F25" s="5">
        <f t="shared" si="0"/>
        <v>1</v>
      </c>
      <c r="G25" t="s">
        <v>1</v>
      </c>
      <c r="H25" s="6" t="s">
        <v>61</v>
      </c>
      <c r="I25" s="7">
        <v>1166692</v>
      </c>
      <c r="J25" s="7">
        <f t="shared" si="1"/>
        <v>1166692</v>
      </c>
      <c r="K25" s="1"/>
      <c r="L25" s="3"/>
    </row>
    <row r="26" spans="1:13" hidden="1" x14ac:dyDescent="0.45">
      <c r="A26" s="1"/>
      <c r="B26" t="s">
        <v>62</v>
      </c>
      <c r="C26" s="3" t="s">
        <v>15</v>
      </c>
      <c r="D26" s="4">
        <v>46322</v>
      </c>
      <c r="E26" s="4">
        <v>46325</v>
      </c>
      <c r="F26" s="5">
        <f t="shared" si="0"/>
        <v>3</v>
      </c>
      <c r="G26" t="s">
        <v>7</v>
      </c>
      <c r="H26" s="6" t="s">
        <v>63</v>
      </c>
      <c r="I26" s="7">
        <v>904916</v>
      </c>
      <c r="J26" s="7">
        <f t="shared" si="1"/>
        <v>301638.66666666669</v>
      </c>
      <c r="K26" s="1"/>
      <c r="L26" s="3"/>
    </row>
    <row r="27" spans="1:13" hidden="1" x14ac:dyDescent="0.45">
      <c r="A27" s="1"/>
      <c r="B27" t="s">
        <v>64</v>
      </c>
      <c r="C27" s="3">
        <v>7</v>
      </c>
      <c r="D27" s="4">
        <v>46326</v>
      </c>
      <c r="E27" s="4">
        <v>46327</v>
      </c>
      <c r="F27" s="5">
        <f t="shared" si="0"/>
        <v>1</v>
      </c>
      <c r="G27" t="s">
        <v>7</v>
      </c>
      <c r="H27" s="6" t="s">
        <v>65</v>
      </c>
      <c r="I27" s="7">
        <v>484185</v>
      </c>
      <c r="J27" s="7">
        <f t="shared" si="1"/>
        <v>484185</v>
      </c>
      <c r="K27" s="1"/>
      <c r="L27" s="3"/>
    </row>
    <row r="28" spans="1:13" hidden="1" x14ac:dyDescent="0.45">
      <c r="A28" s="1"/>
      <c r="B28" t="s">
        <v>66</v>
      </c>
      <c r="C28" s="3">
        <v>11</v>
      </c>
      <c r="D28" s="4">
        <v>46326</v>
      </c>
      <c r="E28" s="4">
        <v>46329</v>
      </c>
      <c r="F28" s="5">
        <f t="shared" si="0"/>
        <v>3</v>
      </c>
      <c r="G28" t="s">
        <v>38</v>
      </c>
      <c r="H28" s="6" t="s">
        <v>67</v>
      </c>
      <c r="I28" s="7">
        <v>2314233</v>
      </c>
      <c r="J28" s="7">
        <f t="shared" si="1"/>
        <v>771411</v>
      </c>
      <c r="K28" s="1"/>
      <c r="L28" s="3"/>
    </row>
    <row r="29" spans="1:13" hidden="1" x14ac:dyDescent="0.45">
      <c r="A29" s="1"/>
      <c r="B29" t="s">
        <v>68</v>
      </c>
      <c r="C29" s="3">
        <v>19</v>
      </c>
      <c r="D29" s="4">
        <v>46326</v>
      </c>
      <c r="E29" s="4">
        <v>46327</v>
      </c>
      <c r="F29" s="5">
        <f t="shared" si="0"/>
        <v>1</v>
      </c>
      <c r="G29" t="s">
        <v>7</v>
      </c>
      <c r="H29" s="6" t="s">
        <v>69</v>
      </c>
      <c r="I29" s="7">
        <v>714902</v>
      </c>
      <c r="J29" s="7">
        <f t="shared" si="1"/>
        <v>714902</v>
      </c>
      <c r="K29" s="1"/>
      <c r="L29" s="3"/>
    </row>
    <row r="30" spans="1:13" x14ac:dyDescent="0.45">
      <c r="A30" s="1" t="s">
        <v>70</v>
      </c>
      <c r="B30" s="2" t="s">
        <v>71</v>
      </c>
      <c r="C30" s="3" t="s">
        <v>72</v>
      </c>
      <c r="D30" s="4">
        <v>46326</v>
      </c>
      <c r="E30" s="4">
        <v>46329</v>
      </c>
      <c r="F30" s="5">
        <f t="shared" si="0"/>
        <v>3</v>
      </c>
      <c r="G30" t="s">
        <v>7</v>
      </c>
      <c r="H30" s="6" t="s">
        <v>73</v>
      </c>
      <c r="I30" s="7">
        <v>3474488</v>
      </c>
      <c r="J30" s="7">
        <f t="shared" si="1"/>
        <v>1158162.6666666667</v>
      </c>
      <c r="K30" s="1"/>
      <c r="L30" s="3"/>
    </row>
    <row r="31" spans="1:13" x14ac:dyDescent="0.45">
      <c r="A31" s="1" t="s">
        <v>70</v>
      </c>
      <c r="B31" s="2" t="s">
        <v>74</v>
      </c>
      <c r="C31" s="10">
        <v>18</v>
      </c>
      <c r="D31" s="11">
        <v>46340</v>
      </c>
      <c r="E31" s="11">
        <v>46341</v>
      </c>
      <c r="F31" s="12">
        <f t="shared" si="0"/>
        <v>1</v>
      </c>
      <c r="G31" s="13" t="s">
        <v>7</v>
      </c>
      <c r="H31" s="14" t="s">
        <v>75</v>
      </c>
      <c r="I31" s="15">
        <v>471236</v>
      </c>
      <c r="J31" s="15">
        <f t="shared" si="1"/>
        <v>471236</v>
      </c>
      <c r="K31" s="16"/>
      <c r="L31" s="10"/>
      <c r="M31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cex ..</dc:creator>
  <cp:lastModifiedBy>cex ..</cp:lastModifiedBy>
  <dcterms:created xsi:type="dcterms:W3CDTF">2026-09-29T13:29:49Z</dcterms:created>
  <dcterms:modified xsi:type="dcterms:W3CDTF">2026-09-29T13:31:10Z</dcterms:modified>
</cp:coreProperties>
</file>